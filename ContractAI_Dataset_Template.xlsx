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j/Desktop/docs/FYP/"/>
    </mc:Choice>
  </mc:AlternateContent>
  <xr:revisionPtr revIDLastSave="0" documentId="13_ncr:1_{79F5D66D-8796-2E40-A0AC-A5298E0643BC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Dataset" sheetId="1" r:id="rId1"/>
    <sheet name="Document Registry" sheetId="2" r:id="rId2"/>
    <sheet name="Progress Tracker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B12" i="3" s="1"/>
  <c r="E10" i="3"/>
  <c r="D10" i="3"/>
  <c r="C10" i="3"/>
  <c r="B10" i="3"/>
  <c r="F9" i="3"/>
  <c r="F8" i="3"/>
  <c r="F7" i="3"/>
  <c r="F6" i="3"/>
  <c r="F5" i="3"/>
  <c r="F4" i="3"/>
  <c r="G9" i="2"/>
</calcChain>
</file>

<file path=xl/sharedStrings.xml><?xml version="1.0" encoding="utf-8"?>
<sst xmlns="http://schemas.openxmlformats.org/spreadsheetml/2006/main" count="233" uniqueCount="160">
  <si>
    <t>Contract.AI — Urdu Legal Clause Dataset</t>
  </si>
  <si>
    <t>University of Lahore FYP 2024-25  |  Fill one row per clause extracted from a document</t>
  </si>
  <si>
    <t>Clause ID</t>
  </si>
  <si>
    <t>Document ID</t>
  </si>
  <si>
    <t>Document Type</t>
  </si>
  <si>
    <t>Clause Text (Urdu)</t>
  </si>
  <si>
    <t>Clause Text (Roman Urdu)</t>
  </si>
  <si>
    <t>Risk Label</t>
  </si>
  <si>
    <t>Risk Category</t>
  </si>
  <si>
    <t>Explanation (Roman Urdu)</t>
  </si>
  <si>
    <t>Collector Name</t>
  </si>
  <si>
    <t>Collection Date</t>
  </si>
  <si>
    <t>Source</t>
  </si>
  <si>
    <t>Notes</t>
  </si>
  <si>
    <t>CL-001</t>
  </si>
  <si>
    <t>DOC-001</t>
  </si>
  <si>
    <t>Rental Agreement</t>
  </si>
  <si>
    <t>مقرر دو ماہ تک بغیر کرایہ پورشن امکان کو قفل لگا کر چلا جائے تو مالک کو حق حاصل ہوگا</t>
  </si>
  <si>
    <t>Muqarrar do maah tak baghair kiraya portion/makan ko qufl laga kar chala jaye to maalik ko haq hasil hoga</t>
  </si>
  <si>
    <t>High Risk</t>
  </si>
  <si>
    <t>Eviction / Forfeiture</t>
  </si>
  <si>
    <t>Agar aap 2 mahine kiraya nahi dete aur ghar band kar ke chale jate hain, to maalik ghar ka qabza le sakta hai</t>
  </si>
  <si>
    <t>Yousaf Raza</t>
  </si>
  <si>
    <t>2024-01-15</t>
  </si>
  <si>
    <t>Collected from property dealer</t>
  </si>
  <si>
    <t>Eviction without court notice</t>
  </si>
  <si>
    <t>CL-002</t>
  </si>
  <si>
    <t>دونوں فریقین کی باہمی رضامندی سے میعاد کرایہ داری میں توسیع کی جاسکتی ہے اور کرایہ میں 10% سالانہ اضافہ ہوگا</t>
  </si>
  <si>
    <t>Donon fariqain ki bahami razamandi se miyad kiraya dari mein tawseeh ki ja sakti hai aur kiraye mein 10% salana izafa hoga</t>
  </si>
  <si>
    <t>Warning</t>
  </si>
  <si>
    <t>Rent Increase</t>
  </si>
  <si>
    <t>Har saal kiraya 10% barh sakta hai. Ye normal hai lekin dhyan rakhein ke ye automatically apply hoga</t>
  </si>
  <si>
    <t>Saad Naveed</t>
  </si>
  <si>
    <t>10% annual increase clause</t>
  </si>
  <si>
    <t>CL-003</t>
  </si>
  <si>
    <t>من مقرر پورشن امکان مذکورہ میں شخصی کرایہ دار نہیں رکھوں گا</t>
  </si>
  <si>
    <t>Main muqarrar portion/makan mazkura mein shakhsi kiraya dar nahi rakhunga</t>
  </si>
  <si>
    <t>Safe</t>
  </si>
  <si>
    <t>Subletting Restriction</t>
  </si>
  <si>
    <t>Aap is ghar mein kisi aur ko kiraye par nahi de sakte. Ye ek normal clause hai</t>
  </si>
  <si>
    <t>Abdur Rahim</t>
  </si>
  <si>
    <t>2024-01-16</t>
  </si>
  <si>
    <t>Family document</t>
  </si>
  <si>
    <t>Standard no-sublet clause</t>
  </si>
  <si>
    <t>CL-004</t>
  </si>
  <si>
    <t>DOC-002</t>
  </si>
  <si>
    <t>Affidavit</t>
  </si>
  <si>
    <t>اگر یہ بیان غلط ثابت ہوا تو قانونی کارروائی کی جا سکتی ہے</t>
  </si>
  <si>
    <t>Agar yeh bayan ghalat sabit hua to qanooni karwai ki ja sakti hai</t>
  </si>
  <si>
    <t>Legal Liability</t>
  </si>
  <si>
    <t>Agar aap ne jo kaha woh jhoot nikla, to aap ke khilaf adalat mein case ho sakta hai</t>
  </si>
  <si>
    <t>2024-01-17</t>
  </si>
  <si>
    <t>Court document template</t>
  </si>
  <si>
    <t>False statement penalty</t>
  </si>
  <si>
    <t>CL-005</t>
  </si>
  <si>
    <t>میں نے یہ بیان اپنی مرضی سے دیا ہے</t>
  </si>
  <si>
    <t>Main ne yeh bayan apni marzi se diya hai</t>
  </si>
  <si>
    <t>Voluntary Declaration</t>
  </si>
  <si>
    <t>Ye sirf confirm karta hai ke aap ne apni khushi se yeh document sign kiya hai</t>
  </si>
  <si>
    <t>Standard voluntary declaration</t>
  </si>
  <si>
    <t>CL-006</t>
  </si>
  <si>
    <t>DOC-003</t>
  </si>
  <si>
    <t>Service Contract</t>
  </si>
  <si>
    <t>کام مکمل نہ ہونے کی صورت میں پیشگی رقم واپس نہیں کی جائے گی</t>
  </si>
  <si>
    <t>Kaam mukammal na hone ki soorat mein peshgi raqam wapis nahi ki jaye gi</t>
  </si>
  <si>
    <t>Non-refundable Advance</t>
  </si>
  <si>
    <t>Agar kaam poora nahi hua to bhi aapka advance paisa wapis nahi milega. Ye bohat risky hai</t>
  </si>
  <si>
    <t>2024-01-18</t>
  </si>
  <si>
    <t>Freelancer network</t>
  </si>
  <si>
    <t>Non-refund clause — very risky for client</t>
  </si>
  <si>
    <t>CL-007</t>
  </si>
  <si>
    <t>کام کی فراہمی کی تاریخ فریقین کی باہمی رضامندی سے تبدیل کی جا سکتی ہے</t>
  </si>
  <si>
    <t>Kaam ki farahmi ki tarikh fariqain ki bahami razamandi se tabdeel ki ja sakti hai</t>
  </si>
  <si>
    <t>Deadline Flexibility</t>
  </si>
  <si>
    <t>Dono parties mil kar deadline badal sakte hain. Ye flexible aur fair hai</t>
  </si>
  <si>
    <t>Mutual deadline change — fair clause</t>
  </si>
  <si>
    <t>CL-008</t>
  </si>
  <si>
    <t>DOC-004</t>
  </si>
  <si>
    <t>Sale Deed</t>
  </si>
  <si>
    <t>بیعانہ کی رقم کسی بھی صورت میں واپس نہیں ہوگی</t>
  </si>
  <si>
    <t>Bayana ki raqam kisi bhi soorat mein wapis nahi hogi</t>
  </si>
  <si>
    <t>Token Money Forfeiture</t>
  </si>
  <si>
    <t>Jo pehle advance diya hai woh kisi bhi wajah se wapis nahi milega — bohat risky clause hai</t>
  </si>
  <si>
    <t>2024-01-19</t>
  </si>
  <si>
    <t>Property dealer</t>
  </si>
  <si>
    <t>Token money forfeiture</t>
  </si>
  <si>
    <t>CL-009</t>
  </si>
  <si>
    <t>جائیداد کی رجسٹری خریدار کے خرچے پر ہوگی</t>
  </si>
  <si>
    <t>Jaidad ki registry kharidaar ke kharche par hogi</t>
  </si>
  <si>
    <t>Registration Cost</t>
  </si>
  <si>
    <t>Registry ka sara kharcha aapko dena hoga. Pehle se pata kar lein ke kitna hoga</t>
  </si>
  <si>
    <t>Buyer bears registration cost</t>
  </si>
  <si>
    <t>CL-010</t>
  </si>
  <si>
    <t>DOC-005</t>
  </si>
  <si>
    <t>Loan Agreement</t>
  </si>
  <si>
    <t>قرض کی واپسی میں تاخیر کی صورت میں 2% ماہانہ جرمانہ عائد ہوگا</t>
  </si>
  <si>
    <t>Qarz ki wapsi mein takheer ki soorat mein 2% mahana jurmana aaid hoga</t>
  </si>
  <si>
    <t>Late Payment Penalty</t>
  </si>
  <si>
    <t>Agar waqt par paise wapis nahi diye to har mahine 2% extra dena hoga. Ye bohot zyada hai</t>
  </si>
  <si>
    <t>2024-01-20</t>
  </si>
  <si>
    <t>Community lender doc</t>
  </si>
  <si>
    <t>2% monthly penalty — very high</t>
  </si>
  <si>
    <t>Contract.AI — Document Registry</t>
  </si>
  <si>
    <t>Register every physical/scanned document here before adding its clauses to the Dataset sheet</t>
  </si>
  <si>
    <t>Language</t>
  </si>
  <si>
    <t>Date Collected</t>
  </si>
  <si>
    <t>Collected By</t>
  </si>
  <si>
    <t>No. of Clauses</t>
  </si>
  <si>
    <t>Quality (1-5)</t>
  </si>
  <si>
    <t>Urdu</t>
  </si>
  <si>
    <t>Property dealer Gulberg</t>
  </si>
  <si>
    <t>8</t>
  </si>
  <si>
    <t>4</t>
  </si>
  <si>
    <t>Court office Model Town</t>
  </si>
  <si>
    <t>5</t>
  </si>
  <si>
    <t>3</t>
  </si>
  <si>
    <t>Freelancer community</t>
  </si>
  <si>
    <t>6</t>
  </si>
  <si>
    <t>Property dealer DHA</t>
  </si>
  <si>
    <t>7</t>
  </si>
  <si>
    <t>Community lender</t>
  </si>
  <si>
    <t>Contract.AI — Dataset Collection Progress</t>
  </si>
  <si>
    <t>Track how many documents each team member has collected per category</t>
  </si>
  <si>
    <t>Target</t>
  </si>
  <si>
    <t>Yousaf</t>
  </si>
  <si>
    <t>Saad</t>
  </si>
  <si>
    <t>Total Collected</t>
  </si>
  <si>
    <t>Power of Attorney</t>
  </si>
  <si>
    <t>TOTAL</t>
  </si>
  <si>
    <t>Completion %</t>
  </si>
  <si>
    <t>Contract.AI — How to Use This Template</t>
  </si>
  <si>
    <t>STEP 1</t>
  </si>
  <si>
    <t>Go to 'Document Registry' sheet. Add a new row for every document you collect. Give it a unique Document ID like DOC-006, DOC-007 etc.</t>
  </si>
  <si>
    <t>STEP 2</t>
  </si>
  <si>
    <t>Scan or photograph the document clearly. Use Google Vision API or Google Lens to extract the Urdu text.</t>
  </si>
  <si>
    <t>STEP 3</t>
  </si>
  <si>
    <t>Go to 'Dataset' sheet. For each clause in the document, add a new row.</t>
  </si>
  <si>
    <t>STEP 4</t>
  </si>
  <si>
    <t>Fill Clause ID (CL-XXX), Document ID (must match Registry), and Document Type from the dropdown.</t>
  </si>
  <si>
    <t>STEP 5</t>
  </si>
  <si>
    <t>Paste the Urdu clause text in column D. Write the Roman Urdu version in column E.</t>
  </si>
  <si>
    <t>STEP 6</t>
  </si>
  <si>
    <t>Choose Risk Label from the dropdown: High Risk / Warning / Safe</t>
  </si>
  <si>
    <t>STEP 7</t>
  </si>
  <si>
    <t>Choose the Risk Category — e.g. Eviction, Penalty, Rent Increase, Forfeiture etc.</t>
  </si>
  <si>
    <t>STEP 8</t>
  </si>
  <si>
    <t>Write a simple Roman Urdu explanation in column H that a normal person can understand.</t>
  </si>
  <si>
    <t>STEP 9</t>
  </si>
  <si>
    <t>Fill your name, date, and source. Add any notes about the clause in column L.</t>
  </si>
  <si>
    <t>STEP 10</t>
  </si>
  <si>
    <t>Update the 'Progress Tracker' sheet with how many docs you've collected.</t>
  </si>
  <si>
    <t>RISK GUIDE</t>
  </si>
  <si>
    <t>High Risk = penalties, forfeiture, legal action, eviction without notice, non-refundable money</t>
  </si>
  <si>
    <t>Warning = rent increase %, deadlines, repair costs, automatic renewal</t>
  </si>
  <si>
    <t>Safe = standard identification, agreement duration, basic terms</t>
  </si>
  <si>
    <t>TEAM TIP</t>
  </si>
  <si>
    <t>Divide work: Yousaf → Rental Agreements. Saad → Affidavits + Loans. Abdur Rahim → Sale Deeds + Service Contracts</t>
  </si>
  <si>
    <t>QUALITY TIP</t>
  </si>
  <si>
    <t>Aim for 5-15 clauses per document. Short clauses (1-2 lines) are ideal for training.</t>
  </si>
  <si>
    <t>Make sure Roman Urdu explanations are in simple everyday language, not legal jargon.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</si>
</sst>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b/>
      <sz val="10"/>
      <color rgb="FF2E75B6"/>
      <name val="Arial"/>
    </font>
    <font>
      <b/>
      <sz val="10"/>
      <color rgb="FF1F4E7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164" fontId="7" fillId="0" borderId="2" xfId="0" applyNumberFormat="1" applyFont="1" applyBorder="1"/>
    <xf numFmtId="0" fontId="8" fillId="8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8" customWidth="1"/>
    <col min="4" max="5" width="40" customWidth="1"/>
    <col min="6" max="6" width="14" customWidth="1"/>
    <col min="7" max="7" width="22" customWidth="1"/>
    <col min="8" max="8" width="45" customWidth="1"/>
    <col min="9" max="9" width="16" customWidth="1"/>
    <col min="10" max="10" width="15" customWidth="1"/>
    <col min="11" max="11" width="20" customWidth="1"/>
    <col min="12" max="12" width="25" customWidth="1"/>
  </cols>
  <sheetData>
    <row r="1" spans="1:12" ht="32" customHeight="1" x14ac:dyDescent="0.2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0" customHeight="1" x14ac:dyDescent="0.2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42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3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</row>
    <row r="5" spans="1:12" ht="42" x14ac:dyDescent="0.2">
      <c r="A5" s="4" t="s">
        <v>26</v>
      </c>
      <c r="B5" s="4" t="s">
        <v>15</v>
      </c>
      <c r="C5" s="4" t="s">
        <v>16</v>
      </c>
      <c r="D5" s="4" t="s">
        <v>27</v>
      </c>
      <c r="E5" s="4" t="s">
        <v>28</v>
      </c>
      <c r="F5" s="5" t="s">
        <v>29</v>
      </c>
      <c r="G5" s="4" t="s">
        <v>30</v>
      </c>
      <c r="H5" s="4" t="s">
        <v>31</v>
      </c>
      <c r="I5" s="4" t="s">
        <v>32</v>
      </c>
      <c r="J5" s="4" t="s">
        <v>23</v>
      </c>
      <c r="K5" s="4" t="s">
        <v>24</v>
      </c>
      <c r="L5" s="4" t="s">
        <v>33</v>
      </c>
    </row>
    <row r="6" spans="1:12" ht="28" x14ac:dyDescent="0.2">
      <c r="A6" s="2" t="s">
        <v>34</v>
      </c>
      <c r="B6" s="2" t="s">
        <v>15</v>
      </c>
      <c r="C6" s="2" t="s">
        <v>16</v>
      </c>
      <c r="D6" s="2" t="s">
        <v>35</v>
      </c>
      <c r="E6" s="2" t="s">
        <v>36</v>
      </c>
      <c r="F6" s="6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43</v>
      </c>
    </row>
    <row r="7" spans="1:12" ht="60" customHeight="1" x14ac:dyDescent="0.2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3" t="s">
        <v>19</v>
      </c>
      <c r="G7" s="4" t="s">
        <v>49</v>
      </c>
      <c r="H7" s="4" t="s">
        <v>50</v>
      </c>
      <c r="I7" s="4" t="s">
        <v>22</v>
      </c>
      <c r="J7" s="4" t="s">
        <v>51</v>
      </c>
      <c r="K7" s="4" t="s">
        <v>52</v>
      </c>
      <c r="L7" s="4" t="s">
        <v>53</v>
      </c>
    </row>
    <row r="8" spans="1:12" ht="60" customHeight="1" x14ac:dyDescent="0.2">
      <c r="A8" s="2" t="s">
        <v>54</v>
      </c>
      <c r="B8" s="2" t="s">
        <v>45</v>
      </c>
      <c r="C8" s="2" t="s">
        <v>46</v>
      </c>
      <c r="D8" s="2" t="s">
        <v>55</v>
      </c>
      <c r="E8" s="2" t="s">
        <v>56</v>
      </c>
      <c r="F8" s="6" t="s">
        <v>37</v>
      </c>
      <c r="G8" s="2" t="s">
        <v>57</v>
      </c>
      <c r="H8" s="2" t="s">
        <v>58</v>
      </c>
      <c r="I8" s="2" t="s">
        <v>32</v>
      </c>
      <c r="J8" s="2" t="s">
        <v>51</v>
      </c>
      <c r="K8" s="2" t="s">
        <v>52</v>
      </c>
      <c r="L8" s="2" t="s">
        <v>59</v>
      </c>
    </row>
    <row r="9" spans="1:12" ht="60" customHeight="1" x14ac:dyDescent="0.2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3" t="s">
        <v>19</v>
      </c>
      <c r="G9" s="4" t="s">
        <v>65</v>
      </c>
      <c r="H9" s="4" t="s">
        <v>66</v>
      </c>
      <c r="I9" s="4" t="s">
        <v>40</v>
      </c>
      <c r="J9" s="4" t="s">
        <v>67</v>
      </c>
      <c r="K9" s="4" t="s">
        <v>68</v>
      </c>
      <c r="L9" s="4" t="s">
        <v>69</v>
      </c>
    </row>
    <row r="10" spans="1:12" ht="60" customHeight="1" x14ac:dyDescent="0.2">
      <c r="A10" s="2" t="s">
        <v>70</v>
      </c>
      <c r="B10" s="2" t="s">
        <v>61</v>
      </c>
      <c r="C10" s="2" t="s">
        <v>62</v>
      </c>
      <c r="D10" s="2" t="s">
        <v>71</v>
      </c>
      <c r="E10" s="2" t="s">
        <v>72</v>
      </c>
      <c r="F10" s="6" t="s">
        <v>37</v>
      </c>
      <c r="G10" s="2" t="s">
        <v>73</v>
      </c>
      <c r="H10" s="2" t="s">
        <v>74</v>
      </c>
      <c r="I10" s="2" t="s">
        <v>22</v>
      </c>
      <c r="J10" s="2" t="s">
        <v>67</v>
      </c>
      <c r="K10" s="2" t="s">
        <v>68</v>
      </c>
      <c r="L10" s="2" t="s">
        <v>75</v>
      </c>
    </row>
    <row r="11" spans="1:12" ht="60" customHeight="1" x14ac:dyDescent="0.2">
      <c r="A11" s="4" t="s">
        <v>76</v>
      </c>
      <c r="B11" s="4" t="s">
        <v>77</v>
      </c>
      <c r="C11" s="4" t="s">
        <v>78</v>
      </c>
      <c r="D11" s="4" t="s">
        <v>79</v>
      </c>
      <c r="E11" s="4" t="s">
        <v>80</v>
      </c>
      <c r="F11" s="3" t="s">
        <v>19</v>
      </c>
      <c r="G11" s="4" t="s">
        <v>81</v>
      </c>
      <c r="H11" s="4" t="s">
        <v>82</v>
      </c>
      <c r="I11" s="4" t="s">
        <v>32</v>
      </c>
      <c r="J11" s="4" t="s">
        <v>83</v>
      </c>
      <c r="K11" s="4" t="s">
        <v>84</v>
      </c>
      <c r="L11" s="4" t="s">
        <v>85</v>
      </c>
    </row>
    <row r="12" spans="1:12" ht="60" customHeight="1" x14ac:dyDescent="0.2">
      <c r="A12" s="2" t="s">
        <v>86</v>
      </c>
      <c r="B12" s="2" t="s">
        <v>77</v>
      </c>
      <c r="C12" s="2" t="s">
        <v>78</v>
      </c>
      <c r="D12" s="2" t="s">
        <v>87</v>
      </c>
      <c r="E12" s="2" t="s">
        <v>88</v>
      </c>
      <c r="F12" s="5" t="s">
        <v>29</v>
      </c>
      <c r="G12" s="2" t="s">
        <v>89</v>
      </c>
      <c r="H12" s="2" t="s">
        <v>90</v>
      </c>
      <c r="I12" s="2" t="s">
        <v>40</v>
      </c>
      <c r="J12" s="2" t="s">
        <v>83</v>
      </c>
      <c r="K12" s="2" t="s">
        <v>84</v>
      </c>
      <c r="L12" s="2" t="s">
        <v>91</v>
      </c>
    </row>
    <row r="13" spans="1:12" ht="60" customHeight="1" x14ac:dyDescent="0.2">
      <c r="A13" s="4" t="s">
        <v>92</v>
      </c>
      <c r="B13" s="4" t="s">
        <v>93</v>
      </c>
      <c r="C13" s="4" t="s">
        <v>94</v>
      </c>
      <c r="D13" s="4" t="s">
        <v>95</v>
      </c>
      <c r="E13" s="4" t="s">
        <v>96</v>
      </c>
      <c r="F13" s="3" t="s">
        <v>19</v>
      </c>
      <c r="G13" s="4" t="s">
        <v>97</v>
      </c>
      <c r="H13" s="4" t="s">
        <v>98</v>
      </c>
      <c r="I13" s="4" t="s">
        <v>22</v>
      </c>
      <c r="J13" s="4" t="s">
        <v>99</v>
      </c>
      <c r="K13" s="4" t="s">
        <v>100</v>
      </c>
      <c r="L13" s="4" t="s">
        <v>101</v>
      </c>
    </row>
    <row r="14" spans="1:12" ht="60" customHeight="1" x14ac:dyDescent="0.2"/>
    <row r="15" spans="1:12" ht="60" customHeight="1" x14ac:dyDescent="0.2"/>
    <row r="16" spans="1:12" ht="60" customHeight="1" x14ac:dyDescent="0.2"/>
  </sheetData>
  <mergeCells count="2">
    <mergeCell ref="A2:L2"/>
    <mergeCell ref="A1:L1"/>
  </mergeCells>
  <dataValidations count="2">
    <dataValidation type="list" sqref="F4:F1000" xr:uid="{00000000-0002-0000-0000-000000000000}">
      <formula1>"High Risk,Warning,Safe"</formula1>
    </dataValidation>
    <dataValidation type="list" sqref="C4:C1000" xr:uid="{00000000-0002-0000-0000-000001000000}">
      <formula1>"Rental Agreement,Affidavit,Sale Deed,Service Contract,Power of Attorney,Loan Agreement,Other"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4" customWidth="1"/>
    <col min="4" max="4" width="16" customWidth="1"/>
    <col min="5" max="5" width="18" customWidth="1"/>
    <col min="6" max="6" width="30" customWidth="1"/>
    <col min="7" max="7" width="16" customWidth="1"/>
    <col min="8" max="8" width="14" customWidth="1"/>
  </cols>
  <sheetData>
    <row r="1" spans="1:8" ht="32" customHeight="1" x14ac:dyDescent="0.2">
      <c r="A1" s="22" t="s">
        <v>102</v>
      </c>
      <c r="B1" s="21"/>
      <c r="C1" s="21"/>
      <c r="D1" s="21"/>
      <c r="E1" s="21"/>
      <c r="F1" s="21"/>
      <c r="G1" s="21"/>
      <c r="H1" s="21"/>
    </row>
    <row r="2" spans="1:8" ht="20" customHeight="1" x14ac:dyDescent="0.2">
      <c r="A2" s="20" t="s">
        <v>103</v>
      </c>
      <c r="B2" s="21"/>
      <c r="C2" s="21"/>
      <c r="D2" s="21"/>
      <c r="E2" s="21"/>
      <c r="F2" s="21"/>
      <c r="G2" s="21"/>
      <c r="H2" s="21"/>
    </row>
    <row r="3" spans="1:8" ht="36" customHeight="1" x14ac:dyDescent="0.2">
      <c r="A3" s="1" t="s">
        <v>3</v>
      </c>
      <c r="B3" s="1" t="s">
        <v>4</v>
      </c>
      <c r="C3" s="1" t="s">
        <v>104</v>
      </c>
      <c r="D3" s="1" t="s">
        <v>105</v>
      </c>
      <c r="E3" s="1" t="s">
        <v>106</v>
      </c>
      <c r="F3" s="1" t="s">
        <v>12</v>
      </c>
      <c r="G3" s="1" t="s">
        <v>107</v>
      </c>
      <c r="H3" s="1" t="s">
        <v>108</v>
      </c>
    </row>
    <row r="4" spans="1:8" x14ac:dyDescent="0.2">
      <c r="A4" s="7" t="s">
        <v>15</v>
      </c>
      <c r="B4" s="7" t="s">
        <v>16</v>
      </c>
      <c r="C4" s="7" t="s">
        <v>109</v>
      </c>
      <c r="D4" s="7" t="s">
        <v>23</v>
      </c>
      <c r="E4" s="7" t="s">
        <v>22</v>
      </c>
      <c r="F4" s="7" t="s">
        <v>110</v>
      </c>
      <c r="G4" s="7" t="s">
        <v>111</v>
      </c>
      <c r="H4" s="7" t="s">
        <v>112</v>
      </c>
    </row>
    <row r="5" spans="1:8" x14ac:dyDescent="0.2">
      <c r="A5" s="8" t="s">
        <v>45</v>
      </c>
      <c r="B5" s="8" t="s">
        <v>46</v>
      </c>
      <c r="C5" s="8" t="s">
        <v>109</v>
      </c>
      <c r="D5" s="8" t="s">
        <v>51</v>
      </c>
      <c r="E5" s="8" t="s">
        <v>32</v>
      </c>
      <c r="F5" s="8" t="s">
        <v>113</v>
      </c>
      <c r="G5" s="8" t="s">
        <v>114</v>
      </c>
      <c r="H5" s="8" t="s">
        <v>115</v>
      </c>
    </row>
    <row r="6" spans="1:8" x14ac:dyDescent="0.2">
      <c r="A6" s="7" t="s">
        <v>61</v>
      </c>
      <c r="B6" s="7" t="s">
        <v>62</v>
      </c>
      <c r="C6" s="7" t="s">
        <v>109</v>
      </c>
      <c r="D6" s="7" t="s">
        <v>67</v>
      </c>
      <c r="E6" s="7" t="s">
        <v>40</v>
      </c>
      <c r="F6" s="7" t="s">
        <v>116</v>
      </c>
      <c r="G6" s="7" t="s">
        <v>117</v>
      </c>
      <c r="H6" s="7" t="s">
        <v>112</v>
      </c>
    </row>
    <row r="7" spans="1:8" ht="24" customHeight="1" x14ac:dyDescent="0.2">
      <c r="A7" s="8" t="s">
        <v>77</v>
      </c>
      <c r="B7" s="8" t="s">
        <v>78</v>
      </c>
      <c r="C7" s="8" t="s">
        <v>109</v>
      </c>
      <c r="D7" s="8" t="s">
        <v>83</v>
      </c>
      <c r="E7" s="8" t="s">
        <v>22</v>
      </c>
      <c r="F7" s="8" t="s">
        <v>118</v>
      </c>
      <c r="G7" s="8" t="s">
        <v>119</v>
      </c>
      <c r="H7" s="8" t="s">
        <v>114</v>
      </c>
    </row>
    <row r="8" spans="1:8" ht="24" customHeight="1" x14ac:dyDescent="0.2">
      <c r="A8" s="7" t="s">
        <v>93</v>
      </c>
      <c r="B8" s="7" t="s">
        <v>94</v>
      </c>
      <c r="C8" s="7" t="s">
        <v>109</v>
      </c>
      <c r="D8" s="7" t="s">
        <v>99</v>
      </c>
      <c r="E8" s="7" t="s">
        <v>32</v>
      </c>
      <c r="F8" s="7" t="s">
        <v>120</v>
      </c>
      <c r="G8" s="7" t="s">
        <v>112</v>
      </c>
      <c r="H8" s="7" t="s">
        <v>115</v>
      </c>
    </row>
    <row r="9" spans="1:8" ht="24" customHeight="1" x14ac:dyDescent="0.2">
      <c r="G9">
        <f>COUNTA(G4:G8)</f>
        <v>5</v>
      </c>
    </row>
    <row r="10" spans="1:8" ht="24" customHeight="1" x14ac:dyDescent="0.2"/>
    <row r="11" spans="1:8" ht="24" customHeight="1" x14ac:dyDescent="0.2"/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/>
  </sheetViews>
  <sheetFormatPr baseColWidth="10" defaultColWidth="8.83203125" defaultRowHeight="15" x14ac:dyDescent="0.2"/>
  <cols>
    <col min="1" max="1" width="25" customWidth="1"/>
    <col min="2" max="2" width="12" customWidth="1"/>
    <col min="3" max="5" width="15" customWidth="1"/>
    <col min="6" max="6" width="18" customWidth="1"/>
  </cols>
  <sheetData>
    <row r="1" spans="1:6" ht="32" customHeight="1" x14ac:dyDescent="0.2">
      <c r="A1" s="22" t="s">
        <v>121</v>
      </c>
      <c r="B1" s="21"/>
      <c r="C1" s="21"/>
      <c r="D1" s="21"/>
      <c r="E1" s="21"/>
      <c r="F1" s="21"/>
    </row>
    <row r="2" spans="1:6" ht="20" customHeight="1" x14ac:dyDescent="0.2">
      <c r="A2" s="20" t="s">
        <v>122</v>
      </c>
      <c r="B2" s="21"/>
      <c r="C2" s="21"/>
      <c r="D2" s="21"/>
      <c r="E2" s="21"/>
      <c r="F2" s="21"/>
    </row>
    <row r="3" spans="1:6" ht="36" customHeight="1" x14ac:dyDescent="0.2">
      <c r="A3" s="1" t="s">
        <v>4</v>
      </c>
      <c r="B3" s="1" t="s">
        <v>123</v>
      </c>
      <c r="C3" s="1" t="s">
        <v>124</v>
      </c>
      <c r="D3" s="1" t="s">
        <v>125</v>
      </c>
      <c r="E3" s="1" t="s">
        <v>40</v>
      </c>
      <c r="F3" s="1" t="s">
        <v>126</v>
      </c>
    </row>
    <row r="4" spans="1:6" x14ac:dyDescent="0.2">
      <c r="A4" s="9" t="s">
        <v>16</v>
      </c>
      <c r="B4" s="10">
        <v>60</v>
      </c>
      <c r="C4" s="10">
        <v>5</v>
      </c>
      <c r="D4" s="10">
        <v>0</v>
      </c>
      <c r="E4" s="10">
        <v>0</v>
      </c>
      <c r="F4" s="11">
        <f t="shared" ref="F4:F9" si="0">C4+D4+E4</f>
        <v>5</v>
      </c>
    </row>
    <row r="5" spans="1:6" x14ac:dyDescent="0.2">
      <c r="A5" s="12" t="s">
        <v>46</v>
      </c>
      <c r="B5" s="13">
        <v>40</v>
      </c>
      <c r="C5" s="13">
        <v>0</v>
      </c>
      <c r="D5" s="13">
        <v>0</v>
      </c>
      <c r="E5" s="13">
        <v>0</v>
      </c>
      <c r="F5" s="11">
        <f t="shared" si="0"/>
        <v>0</v>
      </c>
    </row>
    <row r="6" spans="1:6" x14ac:dyDescent="0.2">
      <c r="A6" s="9" t="s">
        <v>78</v>
      </c>
      <c r="B6" s="10">
        <v>40</v>
      </c>
      <c r="C6" s="10">
        <v>0</v>
      </c>
      <c r="D6" s="10">
        <v>0</v>
      </c>
      <c r="E6" s="10">
        <v>0</v>
      </c>
      <c r="F6" s="11">
        <f t="shared" si="0"/>
        <v>0</v>
      </c>
    </row>
    <row r="7" spans="1:6" ht="24" customHeight="1" x14ac:dyDescent="0.2">
      <c r="A7" s="12" t="s">
        <v>62</v>
      </c>
      <c r="B7" s="13">
        <v>30</v>
      </c>
      <c r="C7" s="13">
        <v>0</v>
      </c>
      <c r="D7" s="13">
        <v>0</v>
      </c>
      <c r="E7" s="13">
        <v>0</v>
      </c>
      <c r="F7" s="11">
        <f t="shared" si="0"/>
        <v>0</v>
      </c>
    </row>
    <row r="8" spans="1:6" ht="24" customHeight="1" x14ac:dyDescent="0.2">
      <c r="A8" s="9" t="s">
        <v>127</v>
      </c>
      <c r="B8" s="10">
        <v>20</v>
      </c>
      <c r="C8" s="10">
        <v>0</v>
      </c>
      <c r="D8" s="10">
        <v>0</v>
      </c>
      <c r="E8" s="10">
        <v>0</v>
      </c>
      <c r="F8" s="11">
        <f t="shared" si="0"/>
        <v>0</v>
      </c>
    </row>
    <row r="9" spans="1:6" ht="24" customHeight="1" x14ac:dyDescent="0.2">
      <c r="A9" s="12" t="s">
        <v>94</v>
      </c>
      <c r="B9" s="13">
        <v>20</v>
      </c>
      <c r="C9" s="13">
        <v>0</v>
      </c>
      <c r="D9" s="13">
        <v>0</v>
      </c>
      <c r="E9" s="13">
        <v>0</v>
      </c>
      <c r="F9" s="11">
        <f t="shared" si="0"/>
        <v>0</v>
      </c>
    </row>
    <row r="10" spans="1:6" ht="28" customHeight="1" x14ac:dyDescent="0.2">
      <c r="A10" s="23" t="s">
        <v>128</v>
      </c>
      <c r="B10" s="14">
        <f>SUM(B4:B9)</f>
        <v>210</v>
      </c>
      <c r="C10" s="14">
        <f>SUM(C4:C9)</f>
        <v>5</v>
      </c>
      <c r="D10" s="14">
        <f>SUM(D4:D9)</f>
        <v>0</v>
      </c>
      <c r="E10" s="14">
        <f>SUM(E4:E9)</f>
        <v>0</v>
      </c>
      <c r="F10" s="14">
        <f>SUM(F4:F9)</f>
        <v>5</v>
      </c>
    </row>
    <row r="11" spans="1:6" ht="24" customHeight="1" x14ac:dyDescent="0.2"/>
    <row r="12" spans="1:6" ht="24" customHeight="1" x14ac:dyDescent="0.2">
      <c r="A12" s="15" t="s">
        <v>129</v>
      </c>
      <c r="B12" s="16">
        <f>F10/B10</f>
        <v>2.3809523809523808E-2</v>
      </c>
    </row>
  </sheetData>
  <mergeCells count="3">
    <mergeCell ref="A2:F2"/>
    <mergeCell ref="A1:F1"/>
    <mergeCell ref="A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70" customWidth="1"/>
  </cols>
  <sheetData>
    <row r="1" spans="1:2" ht="32" customHeight="1" x14ac:dyDescent="0.2">
      <c r="A1" s="22" t="s">
        <v>130</v>
      </c>
      <c r="B1" s="21"/>
    </row>
    <row r="3" spans="1:2" ht="40" customHeight="1" x14ac:dyDescent="0.2">
      <c r="A3" s="17" t="s">
        <v>131</v>
      </c>
      <c r="B3" s="4" t="s">
        <v>132</v>
      </c>
    </row>
    <row r="4" spans="1:2" ht="40" customHeight="1" x14ac:dyDescent="0.2">
      <c r="A4" s="17" t="s">
        <v>133</v>
      </c>
      <c r="B4" s="4" t="s">
        <v>134</v>
      </c>
    </row>
    <row r="5" spans="1:2" ht="40" customHeight="1" x14ac:dyDescent="0.2">
      <c r="A5" s="17" t="s">
        <v>135</v>
      </c>
      <c r="B5" s="4" t="s">
        <v>136</v>
      </c>
    </row>
    <row r="6" spans="1:2" ht="40" customHeight="1" x14ac:dyDescent="0.2">
      <c r="A6" s="17" t="s">
        <v>137</v>
      </c>
      <c r="B6" s="4" t="s">
        <v>138</v>
      </c>
    </row>
    <row r="7" spans="1:2" ht="40" customHeight="1" x14ac:dyDescent="0.2">
      <c r="A7" s="17" t="s">
        <v>139</v>
      </c>
      <c r="B7" s="4" t="s">
        <v>140</v>
      </c>
    </row>
    <row r="8" spans="1:2" ht="40" customHeight="1" x14ac:dyDescent="0.2">
      <c r="A8" s="17" t="s">
        <v>141</v>
      </c>
      <c r="B8" s="4" t="s">
        <v>142</v>
      </c>
    </row>
    <row r="9" spans="1:2" ht="40" customHeight="1" x14ac:dyDescent="0.2">
      <c r="A9" s="17" t="s">
        <v>143</v>
      </c>
      <c r="B9" s="4" t="s">
        <v>144</v>
      </c>
    </row>
    <row r="10" spans="1:2" ht="40" customHeight="1" x14ac:dyDescent="0.2">
      <c r="A10" s="17" t="s">
        <v>145</v>
      </c>
      <c r="B10" s="4" t="s">
        <v>146</v>
      </c>
    </row>
    <row r="11" spans="1:2" ht="40" customHeight="1" x14ac:dyDescent="0.2">
      <c r="A11" s="17" t="s">
        <v>147</v>
      </c>
      <c r="B11" s="4" t="s">
        <v>148</v>
      </c>
    </row>
    <row r="12" spans="1:2" ht="40" customHeight="1" x14ac:dyDescent="0.2">
      <c r="A12" s="17" t="s">
        <v>149</v>
      </c>
      <c r="B12" s="4" t="s">
        <v>150</v>
      </c>
    </row>
    <row r="13" spans="1:2" ht="40" customHeight="1" x14ac:dyDescent="0.2">
      <c r="A13" s="18" t="s">
        <v>151</v>
      </c>
      <c r="B13" s="4" t="s">
        <v>152</v>
      </c>
    </row>
    <row r="14" spans="1:2" ht="40" customHeight="1" x14ac:dyDescent="0.2">
      <c r="A14" s="18" t="s">
        <v>151</v>
      </c>
      <c r="B14" s="4" t="s">
        <v>153</v>
      </c>
    </row>
    <row r="15" spans="1:2" ht="40" customHeight="1" x14ac:dyDescent="0.2">
      <c r="A15" s="18" t="s">
        <v>151</v>
      </c>
      <c r="B15" s="4" t="s">
        <v>154</v>
      </c>
    </row>
    <row r="16" spans="1:2" ht="40" customHeight="1" x14ac:dyDescent="0.2">
      <c r="A16" s="19" t="s">
        <v>155</v>
      </c>
      <c r="B16" s="4" t="s">
        <v>156</v>
      </c>
    </row>
    <row r="17" spans="1:2" ht="40" customHeight="1" x14ac:dyDescent="0.2">
      <c r="A17" s="19" t="s">
        <v>157</v>
      </c>
      <c r="B17" s="4" t="s">
        <v>158</v>
      </c>
    </row>
    <row r="18" spans="1:2" ht="40" customHeight="1" x14ac:dyDescent="0.2">
      <c r="A18" s="19" t="s">
        <v>157</v>
      </c>
      <c r="B18" s="4" t="s">
        <v>159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Document Registry</vt:lpstr>
      <vt:lpstr>Progress Tracker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Mujtaba Haider</cp:lastModifiedBy>
  <dcterms:created xsi:type="dcterms:W3CDTF">2026-02-18T09:24:45Z</dcterms:created>
  <dcterms:modified xsi:type="dcterms:W3CDTF">2026-03-15T23:07:56Z</dcterms:modified>
</cp:coreProperties>
</file>